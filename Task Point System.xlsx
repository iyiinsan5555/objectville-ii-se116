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5"/>
    <sheet state="visible" name="Developer List" sheetId="2" r:id="rId6"/>
  </sheets>
  <definedNames/>
  <calcPr/>
</workbook>
</file>

<file path=xl/sharedStrings.xml><?xml version="1.0" encoding="utf-8"?>
<sst xmlns="http://schemas.openxmlformats.org/spreadsheetml/2006/main" count="154" uniqueCount="121">
  <si>
    <t>Task ID</t>
  </si>
  <si>
    <t>Owner</t>
  </si>
  <si>
    <t>Milestone</t>
  </si>
  <si>
    <t>Title</t>
  </si>
  <si>
    <t>Weight (0-100]</t>
  </si>
  <si>
    <t>Start Date and Time</t>
  </si>
  <si>
    <t>Completed Date and Time</t>
  </si>
  <si>
    <t>URL</t>
  </si>
  <si>
    <t>Details</t>
  </si>
  <si>
    <t>Melih Berk Sönmez</t>
  </si>
  <si>
    <t>Create Resources (Lifestyle, Goods, Population)</t>
  </si>
  <si>
    <r>
      <rPr>
        <color rgb="FF1155CC"/>
        <u/>
      </rPr>
      <t>Added Resource, Lifestyle, Population, and Goods · iyiinsan5555/objectville-ii-se116@2b5f079</t>
    </r>
  </si>
  <si>
    <t>Based on our project design I have implemented the prelimenary classes Resource, Lifestyle, Population, and Goods. They were planned to be used as a data type.</t>
  </si>
  <si>
    <t>Create ServiceProvider class</t>
  </si>
  <si>
    <r>
      <rPr>
        <color rgb="FF1155CC"/>
        <u/>
      </rPr>
      <t>Add ServiceProvider · iyiinsan5555/objectville-ii-se116@ad4109b</t>
    </r>
  </si>
  <si>
    <t>Created ServiceProvider according to our project design. ServiceProvider is the abstract classes that will be used by School, PoliceStation, and Hospital.</t>
  </si>
  <si>
    <t>Add Hospital</t>
  </si>
  <si>
    <r>
      <rPr>
        <color rgb="FF1155CC"/>
        <u/>
      </rPr>
      <t>Add Hospital · iyiinsan5555/objectville-ii-se116@93a8d3c</t>
    </r>
  </si>
  <si>
    <t>Hospital is subclass of the ServiceProvider. Its distribution logic is not done.</t>
  </si>
  <si>
    <t>Add PoliceStation</t>
  </si>
  <si>
    <r>
      <rPr>
        <color rgb="FF1155CC"/>
        <u/>
      </rPr>
      <t>Add PoliceStation · iyiinsan5555/objectville-ii-se116@3245c0f</t>
    </r>
  </si>
  <si>
    <t>PoliceStation is subclass of the ServiceProvider. It will provide Security but its distribution logic will be implemented later.</t>
  </si>
  <si>
    <t>Add School</t>
  </si>
  <si>
    <r>
      <rPr>
        <color rgb="FF1155CC"/>
        <u/>
      </rPr>
      <t>Add School · iyiinsan5555/objectville-ii-se116@8ddd233</t>
    </r>
  </si>
  <si>
    <t>Subclass of the ServiceProvider. It will provide Education.</t>
  </si>
  <si>
    <t>Fix ServiceProvider&amp;Subclasses</t>
  </si>
  <si>
    <r>
      <rPr>
        <color rgb="FF1155CC"/>
        <u/>
      </rPr>
      <t>Edit ServiceProvider &amp; Subclasses · iyiinsan5555/objectville-ii-se116@ee83d45</t>
    </r>
  </si>
  <si>
    <t>We have reviewed and altered our project design. Based on the new design, I have made some changes.</t>
  </si>
  <si>
    <t>Mert Akalın</t>
  </si>
  <si>
    <t>Create ServiceDistributor</t>
  </si>
  <si>
    <r>
      <rPr>
        <color rgb="FF1155CC"/>
        <u/>
      </rPr>
      <t>Create ServiceDistributor.java · iyiinsan5555/objectville-ii-se116@93e3095</t>
    </r>
  </si>
  <si>
    <t>Created ServiceDistributor class. It oversees all the Cells and handles service distributon logic.</t>
  </si>
  <si>
    <t>Umut Utkan Göbelek</t>
  </si>
  <si>
    <t>Create UtilityDistributor</t>
  </si>
  <si>
    <t>Finished UtilityDistributor</t>
  </si>
  <si>
    <t>Created UtilityDistributor who distributes all utilities by iterating over cells and using a Breadth First Search algorithm.</t>
  </si>
  <si>
    <t>Add Cell</t>
  </si>
  <si>
    <t>Created Cell</t>
  </si>
  <si>
    <t>Cell class is the superclass of all entities in the program</t>
  </si>
  <si>
    <t>Add Road</t>
  </si>
  <si>
    <t>Add Road,Empty,Transferrable</t>
  </si>
  <si>
    <t>Road cells just transfers utilities without using them</t>
  </si>
  <si>
    <t>Create Point</t>
  </si>
  <si>
    <t>Created Point</t>
  </si>
  <si>
    <t>Point class lets us create a grid system and put all cells in a location</t>
  </si>
  <si>
    <t>Add Empty</t>
  </si>
  <si>
    <t>Add Road,Empty,Transferable</t>
  </si>
  <si>
    <t xml:space="preserve">Empty cells prevents the Utility distributor from accessing the cells behind it </t>
  </si>
  <si>
    <t>Create Transferable</t>
  </si>
  <si>
    <t>the cells that implement this interface let the Utility Distributor go through them while in the process of BFS</t>
  </si>
  <si>
    <t>Add package system</t>
  </si>
  <si>
    <t>Package System</t>
  </si>
  <si>
    <t>this is to make our code tidier</t>
  </si>
  <si>
    <t>Add MapReader</t>
  </si>
  <si>
    <r>
      <rPr>
        <color rgb="FF1155CC"/>
        <u/>
      </rPr>
      <t>Add MapReader &amp; ExampleMap.txt · iyiinsan5555/objectville-ii-se116@2a389cd</t>
    </r>
  </si>
  <si>
    <t xml:space="preserve">The MapReader class uses a method readMap(Path mapPath) which returns an array list of cells.
</t>
  </si>
  <si>
    <t>Add GridManager</t>
  </si>
  <si>
    <r>
      <rPr>
        <color rgb="FF1155CC"/>
        <u/>
      </rPr>
      <t>Add GridManager · iyiinsan5555/objectville-ii-se116@b513897</t>
    </r>
  </si>
  <si>
    <t>The grid manager gets an array list of cells and provides some utilities. (Has both static and non-static util methods) (Later we altered it)</t>
  </si>
  <si>
    <t>Add SimulationRunner</t>
  </si>
  <si>
    <r>
      <rPr>
        <color rgb="FF1155CC"/>
        <u/>
      </rPr>
      <t>Fix GridManager &amp; Add SimulationRunner · iyiinsan5555/objectville-ii-se116@d578f69</t>
    </r>
  </si>
  <si>
    <t xml:space="preserve">The simulation runner will be the main component to run the game. In main method we will create and run it.
</t>
  </si>
  <si>
    <t>Gökçe Ünsal</t>
  </si>
  <si>
    <t>Create Zone Class</t>
  </si>
  <si>
    <t xml:space="preserve">       09.05.2026 17.30</t>
  </si>
  <si>
    <t xml:space="preserve">       09.05.2026 18.03</t>
  </si>
  <si>
    <t>Add Zone</t>
  </si>
  <si>
    <t>Created the base structure for all zones, including core attributes, encapsulation, getM() utility calculation logic, and abstract methods required for Step 4 updates.</t>
  </si>
  <si>
    <t>Implement Housing</t>
  </si>
  <si>
    <t xml:space="preserve">       09.05.2026 18.15</t>
  </si>
  <si>
    <t xml:space="preserve">       16.05.2026 11.11</t>
  </si>
  <si>
    <t>Add Housing</t>
  </si>
  <si>
    <t>Coded the population generation logic, lifestyle integration, the gradual level drop mechanism (gradual fall), and specific resetData() operations for unique resources.</t>
  </si>
  <si>
    <t>Implement Industrial</t>
  </si>
  <si>
    <t>16.05.2026 11.20</t>
  </si>
  <si>
    <t>16.05.2026 11.55</t>
  </si>
  <si>
    <t>Add Industrial</t>
  </si>
  <si>
    <t>Overrode the getM() method to restrict utility needs to only Electricity and Water, implemented population consumption and goods generation based on the output table, and added gradual fall logic.</t>
  </si>
  <si>
    <t>Implement Commercial</t>
  </si>
  <si>
    <t>16.05.2026 12.12</t>
  </si>
  <si>
    <t>16.05.2026 12.34</t>
  </si>
  <si>
    <t>Add Comercial</t>
  </si>
  <si>
    <t>Wrote the output formula using Math.min(population, goods). Tracked population and goods variables. Added the 3 utility needs and gradual level drop rules.</t>
  </si>
  <si>
    <t>Add ResourceDistributor</t>
  </si>
  <si>
    <t>16.05.2026 16.12</t>
  </si>
  <si>
    <t>16.05.2026 17.58</t>
  </si>
  <si>
    <t>Wrote the distribute (Step 3) and accumulate (Step 5) methods. Counted the zones to divide resources equally. Handled the integer division and city-wide pools.</t>
  </si>
  <si>
    <t>Final Refactoring &amp; Bug Fixes</t>
  </si>
  <si>
    <t>01.06.2026 12.00</t>
  </si>
  <si>
    <t>01.06.2026 13.09</t>
  </si>
  <si>
    <r>
      <rPr>
        <color rgb="FF1155CC"/>
        <sz val="10.0"/>
        <u/>
      </rPr>
      <t>Fixes</t>
    </r>
    <r>
      <rPr>
        <color rgb="FF000000"/>
        <sz val="10.0"/>
      </rPr>
      <t xml:space="preserve"> </t>
    </r>
    <r>
      <rPr>
        <color rgb="FF1155CC"/>
        <sz val="10.0"/>
        <u/>
      </rPr>
      <t>&amp; Updates</t>
    </r>
  </si>
  <si>
    <t>Fixed zero-division in ResourceDistributor, prevented negative utility values, and added utility checking methods to all zones.</t>
  </si>
  <si>
    <t>Add PowerPlant</t>
  </si>
  <si>
    <t>Added PowerPlant</t>
  </si>
  <si>
    <t>PowerPlant is subclass of the UtilityProvider. It contains electricity resource</t>
  </si>
  <si>
    <t>Add WaterPumpingStation</t>
  </si>
  <si>
    <t xml:space="preserve">Added WaterPumpingStation </t>
  </si>
  <si>
    <t xml:space="preserve">WaterPumpingStation is subclass of the UtilityProvider. It contains water resource </t>
  </si>
  <si>
    <t>Add InternetHub</t>
  </si>
  <si>
    <t>Added InternetHub</t>
  </si>
  <si>
    <t>InternetHubis subclass of the UtilityProvider. It contains Internet resource</t>
  </si>
  <si>
    <t>Add UtilityProvider</t>
  </si>
  <si>
    <t>Added UtilityProvider</t>
  </si>
  <si>
    <t xml:space="preserve">Parent class for utilities serves useful methods </t>
  </si>
  <si>
    <t>Add print level changes</t>
  </si>
  <si>
    <r>
      <rPr>
        <color rgb="FF1155CC"/>
        <u/>
      </rPr>
      <t>Print Levels</t>
    </r>
    <r>
      <rPr>
        <color rgb="FF1F1F1F"/>
      </rPr>
      <t xml:space="preserve"> 
</t>
    </r>
    <r>
      <rPr>
        <color rgb="FF1155CC"/>
        <u/>
      </rPr>
      <t>Print Levels 
Print Levels</t>
    </r>
  </si>
  <si>
    <t>Prints a detailed line when Housing, Industrial or Commercial commercial levels up or down. With coordinates.</t>
  </si>
  <si>
    <t>Add log produced output</t>
  </si>
  <si>
    <t>Print Output 
Print Output 
Print Output</t>
  </si>
  <si>
    <t xml:space="preserve">Prints a detailed line when Housing, Industrial or Commercial generates an output. With coordinates </t>
  </si>
  <si>
    <t>Print services received by zones</t>
  </si>
  <si>
    <t>Print services</t>
  </si>
  <si>
    <t>Prints received services by a zone measured with radius of a service provider.</t>
  </si>
  <si>
    <t>Minor fixes</t>
  </si>
  <si>
    <t>Edit print logic</t>
  </si>
  <si>
    <t xml:space="preserve">Made level up/down and received services print statements less redundant </t>
  </si>
  <si>
    <t>Developer</t>
  </si>
  <si>
    <t>Number of Tasks</t>
  </si>
  <si>
    <t>Total Weight</t>
  </si>
  <si>
    <t>Score</t>
  </si>
  <si>
    <t>Team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</si>
</sst>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 hh:mm"/>
    <numFmt numFmtId="165" formatCode="dd.mm.yyyy"/>
    <numFmt numFmtId="166" formatCode="dd.MM.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sz val="10.0"/>
      <color rgb="FF000000"/>
    </font>
    <font>
      <u/>
      <color rgb="FF0000FF"/>
    </font>
    <font>
      <u/>
      <color rgb="FF1155CC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166" xfId="0" applyAlignment="1" applyFont="1" applyNumberFormat="1">
      <alignment readingOrder="0" shrinkToFit="0" wrapText="0"/>
    </xf>
    <xf borderId="0" fillId="0" fontId="2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iyiinsan5555/objectville-ii-se116/pull/11" TargetMode="External"/><Relationship Id="rId22" Type="http://schemas.openxmlformats.org/officeDocument/2006/relationships/hyperlink" Target="https://github.com/iyiinsan5555/objectville-ii-se116/pull/12" TargetMode="External"/><Relationship Id="rId21" Type="http://schemas.openxmlformats.org/officeDocument/2006/relationships/hyperlink" Target="https://github.com/iyiinsan5555/objectville-ii-se116/pull/11" TargetMode="External"/><Relationship Id="rId24" Type="http://schemas.openxmlformats.org/officeDocument/2006/relationships/hyperlink" Target="https://github.com/iyiinsan5555/objectville-ii-se116/commit/a41ea7db94b2d999dbe160da1361be04eeb3cddd" TargetMode="External"/><Relationship Id="rId23" Type="http://schemas.openxmlformats.org/officeDocument/2006/relationships/hyperlink" Target="https://github.com/iyiinsan5555/objectville-ii-se116/pull/17" TargetMode="External"/><Relationship Id="rId1" Type="http://schemas.openxmlformats.org/officeDocument/2006/relationships/hyperlink" Target="https://github.com/iyiinsan5555/objectville-ii-se116/commit/2b5f079adce47a6c14e15de8cc9b2d12a37eb078" TargetMode="External"/><Relationship Id="rId2" Type="http://schemas.openxmlformats.org/officeDocument/2006/relationships/hyperlink" Target="https://github.com/iyiinsan5555/objectville-ii-se116/commit/ad4109b13f068965d0c97d05c5e81d3c660db55e" TargetMode="External"/><Relationship Id="rId3" Type="http://schemas.openxmlformats.org/officeDocument/2006/relationships/hyperlink" Target="https://github.com/iyiinsan5555/objectville-ii-se116/commit/93a8d3c2b758a883cf8791d396cc27264a3d9b45" TargetMode="External"/><Relationship Id="rId4" Type="http://schemas.openxmlformats.org/officeDocument/2006/relationships/hyperlink" Target="https://github.com/iyiinsan5555/objectville-ii-se116/commit/3245c0f64fd6cbfadfc2300f830368b841f75b2f" TargetMode="External"/><Relationship Id="rId9" Type="http://schemas.openxmlformats.org/officeDocument/2006/relationships/hyperlink" Target="https://github.com/iyiinsan5555/objectville-ii-se116/commit/3a335da55b8d84e5bdbae86adb57d515b4225cb5" TargetMode="External"/><Relationship Id="rId26" Type="http://schemas.openxmlformats.org/officeDocument/2006/relationships/hyperlink" Target="https://github.com/iyiinsan5555/objectville-ii-se116/commit/f433e3f7d7c91577ec037dfe07e8a6ef01b6e111" TargetMode="External"/><Relationship Id="rId25" Type="http://schemas.openxmlformats.org/officeDocument/2006/relationships/hyperlink" Target="https://github.com/iyiinsan5555/objectville-ii-se116/commit/a29c72bb006c7641e5e0c29bc75e8a6ef7712ce0" TargetMode="External"/><Relationship Id="rId28" Type="http://schemas.openxmlformats.org/officeDocument/2006/relationships/hyperlink" Target="https://github.com/iyiinsan5555/objectville-ii-se116/commit/3ec2f9b403539be0aa478e910af38ca580f360d9" TargetMode="External"/><Relationship Id="rId27" Type="http://schemas.openxmlformats.org/officeDocument/2006/relationships/hyperlink" Target="https://github.com/iyiinsan5555/objectville-ii-se116/commit/468c020b1458fe178f12ec394858361c3d8180ee" TargetMode="External"/><Relationship Id="rId5" Type="http://schemas.openxmlformats.org/officeDocument/2006/relationships/hyperlink" Target="https://github.com/iyiinsan5555/objectville-ii-se116/commit/8ddd233c8af1ccbba3eefc1c71c572499d001d25" TargetMode="External"/><Relationship Id="rId6" Type="http://schemas.openxmlformats.org/officeDocument/2006/relationships/hyperlink" Target="https://github.com/iyiinsan5555/objectville-ii-se116/commit/ee83d45b26d95cf6a35c1d17a60d9bf84c94ecef" TargetMode="External"/><Relationship Id="rId29" Type="http://schemas.openxmlformats.org/officeDocument/2006/relationships/hyperlink" Target="https://github.com/iyiinsan5555/objectville-ii-se116/commit/e4289ddd650257d1a12749b292b23c9f064175cc" TargetMode="External"/><Relationship Id="rId7" Type="http://schemas.openxmlformats.org/officeDocument/2006/relationships/hyperlink" Target="https://github.com/iyiinsan5555/objectville-ii-se116/commit/93e30952ff85097721527c0a8f1ed4e188c48aa3" TargetMode="External"/><Relationship Id="rId8" Type="http://schemas.openxmlformats.org/officeDocument/2006/relationships/hyperlink" Target="https://github.com/iyiinsan5555/objectville-ii-se116/blob/feat/Utility-Distributor/src/UtilityDistributor.java" TargetMode="External"/><Relationship Id="rId31" Type="http://schemas.openxmlformats.org/officeDocument/2006/relationships/hyperlink" Target="https://github.com/iyiinsan5555/objectville-ii-se116/commit/a46d0323150a5eb81ad8677bd87b99a5a46b927a" TargetMode="External"/><Relationship Id="rId30" Type="http://schemas.openxmlformats.org/officeDocument/2006/relationships/hyperlink" Target="https://github.com/iyiinsan5555/objectville-ii-se116/commit/86d069dc71e39a8d2a79a772e08dbf0ce8180e3d" TargetMode="External"/><Relationship Id="rId11" Type="http://schemas.openxmlformats.org/officeDocument/2006/relationships/hyperlink" Target="https://github.com/iyiinsan5555/objectville-ii-se116/commit/7ee90a24b8c0b8205c157d93af2c528f1f735fe2" TargetMode="External"/><Relationship Id="rId10" Type="http://schemas.openxmlformats.org/officeDocument/2006/relationships/hyperlink" Target="https://github.com/iyiinsan5555/objectville-ii-se116/commit/4811b59f5930fd4dc08fa20548f497515ad1f8b1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github.com/iyiinsan5555/objectville-ii-se116/commit/4811b59f5930fd4dc08fa20548f497515ad1f8b1" TargetMode="External"/><Relationship Id="rId12" Type="http://schemas.openxmlformats.org/officeDocument/2006/relationships/hyperlink" Target="https://github.com/iyiinsan5555/objectville-ii-se116/commit/4811b59f5930fd4dc08fa20548f497515ad1f8b1" TargetMode="External"/><Relationship Id="rId15" Type="http://schemas.openxmlformats.org/officeDocument/2006/relationships/hyperlink" Target="https://github.com/iyiinsan5555/objectville-ii-se116/commit/2a389cdba80ff8c1f01e68b48014cb42fc410f59" TargetMode="External"/><Relationship Id="rId14" Type="http://schemas.openxmlformats.org/officeDocument/2006/relationships/hyperlink" Target="https://github.com/iyiinsan5555/objectville-ii-se116/tree/feat-package/src" TargetMode="External"/><Relationship Id="rId17" Type="http://schemas.openxmlformats.org/officeDocument/2006/relationships/hyperlink" Target="https://github.com/iyiinsan5555/objectville-ii-se116/commit/d578f691c8ff9a4d4135f7df0a8fe52b88c554ae" TargetMode="External"/><Relationship Id="rId16" Type="http://schemas.openxmlformats.org/officeDocument/2006/relationships/hyperlink" Target="https://github.com/iyiinsan5555/objectville-ii-se116/commit/b51389788a5bcd767bc8087dfc3a1d0dcb49c36c" TargetMode="External"/><Relationship Id="rId19" Type="http://schemas.openxmlformats.org/officeDocument/2006/relationships/hyperlink" Target="https://github.com/iyiinsan5555/objectville-ii-se116/pull/11" TargetMode="External"/><Relationship Id="rId18" Type="http://schemas.openxmlformats.org/officeDocument/2006/relationships/hyperlink" Target="https://github.com/iyiinsan5555/objectville-ii-se116/pull/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9.38"/>
    <col customWidth="1" min="3" max="3" width="11.5"/>
    <col customWidth="1" min="4" max="4" width="26.63"/>
    <col customWidth="1" min="5" max="5" width="14.38"/>
    <col customWidth="1" min="6" max="6" width="16.88"/>
    <col customWidth="1" min="7" max="7" width="21.75"/>
    <col customWidth="1" min="9" max="9" width="6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f t="array" ref="A2:A32">SEQUENCE(COUNTA(B2:B1005),1,1,1)</f>
        <v>1</v>
      </c>
      <c r="B2" s="5" t="s">
        <v>9</v>
      </c>
      <c r="C2" s="5"/>
      <c r="D2" s="5" t="s">
        <v>10</v>
      </c>
      <c r="E2" s="5">
        <v>10.0</v>
      </c>
      <c r="F2" s="6">
        <v>46142.85208333333</v>
      </c>
      <c r="G2" s="6">
        <v>46142.86875</v>
      </c>
      <c r="H2" s="7" t="s">
        <v>11</v>
      </c>
      <c r="I2" s="8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2.0</v>
      </c>
      <c r="B3" s="5" t="s">
        <v>9</v>
      </c>
      <c r="C3" s="5"/>
      <c r="D3" s="5" t="s">
        <v>13</v>
      </c>
      <c r="E3" s="5">
        <v>10.0</v>
      </c>
      <c r="F3" s="6">
        <v>46147.82430555556</v>
      </c>
      <c r="G3" s="6">
        <v>46147.830555555556</v>
      </c>
      <c r="H3" s="7" t="s">
        <v>14</v>
      </c>
      <c r="I3" s="8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3.0</v>
      </c>
      <c r="B4" s="5" t="s">
        <v>9</v>
      </c>
      <c r="C4" s="5"/>
      <c r="D4" s="5" t="s">
        <v>16</v>
      </c>
      <c r="E4" s="5">
        <v>10.0</v>
      </c>
      <c r="F4" s="6">
        <v>46147.82430555556</v>
      </c>
      <c r="G4" s="6">
        <v>46147.83263888889</v>
      </c>
      <c r="H4" s="7" t="s">
        <v>17</v>
      </c>
      <c r="I4" s="8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>
        <v>4.0</v>
      </c>
      <c r="B5" s="5" t="s">
        <v>9</v>
      </c>
      <c r="C5" s="5"/>
      <c r="D5" s="5" t="s">
        <v>19</v>
      </c>
      <c r="E5" s="5">
        <v>10.0</v>
      </c>
      <c r="F5" s="6">
        <v>46147.82430555556</v>
      </c>
      <c r="G5" s="6">
        <v>46147.834027777775</v>
      </c>
      <c r="H5" s="7" t="s">
        <v>20</v>
      </c>
      <c r="I5" s="8" t="s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>
        <v>5.0</v>
      </c>
      <c r="B6" s="5" t="s">
        <v>9</v>
      </c>
      <c r="C6" s="3"/>
      <c r="D6" s="5" t="s">
        <v>22</v>
      </c>
      <c r="E6" s="5">
        <v>10.0</v>
      </c>
      <c r="F6" s="6">
        <v>46147.82430555556</v>
      </c>
      <c r="G6" s="6">
        <v>46147.83472222222</v>
      </c>
      <c r="H6" s="7" t="s">
        <v>23</v>
      </c>
      <c r="I6" s="8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>
        <v>6.0</v>
      </c>
      <c r="B7" s="5" t="s">
        <v>9</v>
      </c>
      <c r="C7" s="3"/>
      <c r="D7" s="5" t="s">
        <v>25</v>
      </c>
      <c r="E7" s="5">
        <v>10.0</v>
      </c>
      <c r="F7" s="6">
        <v>46151.555555555555</v>
      </c>
      <c r="G7" s="6">
        <v>46151.56180555555</v>
      </c>
      <c r="H7" s="7" t="s">
        <v>26</v>
      </c>
      <c r="I7" s="8" t="s">
        <v>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>
        <v>7.0</v>
      </c>
      <c r="B8" s="5" t="s">
        <v>28</v>
      </c>
      <c r="C8" s="3"/>
      <c r="D8" s="5" t="s">
        <v>29</v>
      </c>
      <c r="E8" s="5">
        <v>50.0</v>
      </c>
      <c r="F8" s="6">
        <v>46152.694444444445</v>
      </c>
      <c r="G8" s="6">
        <v>46153.74444444444</v>
      </c>
      <c r="H8" s="7" t="s">
        <v>30</v>
      </c>
      <c r="I8" s="8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>
        <v>8.0</v>
      </c>
      <c r="B9" s="5" t="s">
        <v>32</v>
      </c>
      <c r="C9" s="3"/>
      <c r="D9" s="5" t="s">
        <v>33</v>
      </c>
      <c r="E9" s="5">
        <v>90.0</v>
      </c>
      <c r="F9" s="9">
        <v>46149.0</v>
      </c>
      <c r="G9" s="9">
        <v>46161.0</v>
      </c>
      <c r="H9" s="10" t="s">
        <v>34</v>
      </c>
      <c r="I9" s="8" t="s">
        <v>35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>
        <v>9.0</v>
      </c>
      <c r="B10" s="5" t="s">
        <v>32</v>
      </c>
      <c r="C10" s="3"/>
      <c r="D10" s="5" t="s">
        <v>36</v>
      </c>
      <c r="E10" s="4">
        <v>20.0</v>
      </c>
      <c r="F10" s="11">
        <v>46146.0</v>
      </c>
      <c r="G10" s="11">
        <v>46147.0</v>
      </c>
      <c r="H10" s="10" t="s">
        <v>37</v>
      </c>
      <c r="I10" s="8" t="s">
        <v>38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>
        <v>10.0</v>
      </c>
      <c r="B11" s="5" t="s">
        <v>32</v>
      </c>
      <c r="C11" s="3"/>
      <c r="D11" s="5" t="s">
        <v>39</v>
      </c>
      <c r="E11" s="4">
        <v>10.0</v>
      </c>
      <c r="F11" s="11">
        <v>46146.0</v>
      </c>
      <c r="G11" s="11">
        <v>46147.0</v>
      </c>
      <c r="H11" s="10" t="s">
        <v>40</v>
      </c>
      <c r="I11" s="8" t="s">
        <v>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>
        <v>11.0</v>
      </c>
      <c r="B12" s="5" t="s">
        <v>32</v>
      </c>
      <c r="C12" s="3"/>
      <c r="D12" s="5" t="s">
        <v>42</v>
      </c>
      <c r="E12" s="4">
        <v>25.0</v>
      </c>
      <c r="F12" s="11">
        <v>46146.0</v>
      </c>
      <c r="G12" s="11">
        <v>46147.0</v>
      </c>
      <c r="H12" s="10" t="s">
        <v>43</v>
      </c>
      <c r="I12" s="8" t="s">
        <v>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v>12.0</v>
      </c>
      <c r="B13" s="5" t="s">
        <v>32</v>
      </c>
      <c r="C13" s="3"/>
      <c r="D13" s="5" t="s">
        <v>45</v>
      </c>
      <c r="E13" s="4">
        <v>10.0</v>
      </c>
      <c r="F13" s="11">
        <v>46146.0</v>
      </c>
      <c r="G13" s="11">
        <v>46147.0</v>
      </c>
      <c r="H13" s="10" t="s">
        <v>46</v>
      </c>
      <c r="I13" s="8" t="s">
        <v>47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8.5" customHeight="1">
      <c r="A14" s="4">
        <v>13.0</v>
      </c>
      <c r="B14" s="5" t="s">
        <v>32</v>
      </c>
      <c r="C14" s="3"/>
      <c r="D14" s="5" t="s">
        <v>48</v>
      </c>
      <c r="E14" s="4">
        <v>10.0</v>
      </c>
      <c r="F14" s="11">
        <v>46146.0</v>
      </c>
      <c r="G14" s="11">
        <v>46147.0</v>
      </c>
      <c r="H14" s="10" t="s">
        <v>46</v>
      </c>
      <c r="I14" s="12" t="s">
        <v>49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>
        <v>14.0</v>
      </c>
      <c r="B15" s="5" t="s">
        <v>32</v>
      </c>
      <c r="C15" s="3"/>
      <c r="D15" s="5" t="s">
        <v>50</v>
      </c>
      <c r="E15" s="4">
        <v>10.0</v>
      </c>
      <c r="F15" s="9">
        <v>46174.0</v>
      </c>
      <c r="G15" s="9">
        <v>46174.0</v>
      </c>
      <c r="H15" s="10" t="s">
        <v>51</v>
      </c>
      <c r="I15" s="8" t="s">
        <v>52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4">
        <v>15.0</v>
      </c>
      <c r="B16" s="5" t="s">
        <v>9</v>
      </c>
      <c r="C16" s="3"/>
      <c r="D16" s="5" t="s">
        <v>53</v>
      </c>
      <c r="E16" s="5">
        <v>40.0</v>
      </c>
      <c r="F16" s="6">
        <v>46152.316666666666</v>
      </c>
      <c r="G16" s="6">
        <v>46152.388194444444</v>
      </c>
      <c r="H16" s="7" t="s">
        <v>54</v>
      </c>
      <c r="I16" s="8" t="s">
        <v>55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>
        <v>16.0</v>
      </c>
      <c r="B17" s="5" t="s">
        <v>9</v>
      </c>
      <c r="C17" s="3"/>
      <c r="D17" s="5" t="s">
        <v>56</v>
      </c>
      <c r="E17" s="5">
        <v>35.0</v>
      </c>
      <c r="F17" s="6">
        <v>46153.33472222222</v>
      </c>
      <c r="G17" s="6">
        <v>46153.39791666667</v>
      </c>
      <c r="H17" s="7" t="s">
        <v>57</v>
      </c>
      <c r="I17" s="8" t="s">
        <v>58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4.25" customHeight="1">
      <c r="A18" s="4">
        <v>17.0</v>
      </c>
      <c r="B18" s="5" t="s">
        <v>9</v>
      </c>
      <c r="C18" s="3"/>
      <c r="D18" s="5" t="s">
        <v>59</v>
      </c>
      <c r="E18" s="5">
        <v>40.0</v>
      </c>
      <c r="F18" s="6">
        <v>46155.745833333334</v>
      </c>
      <c r="G18" s="6">
        <v>46155.77361111111</v>
      </c>
      <c r="H18" s="7" t="s">
        <v>60</v>
      </c>
      <c r="I18" s="8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>
        <v>18.0</v>
      </c>
      <c r="B19" s="5" t="s">
        <v>62</v>
      </c>
      <c r="C19" s="3"/>
      <c r="D19" s="13" t="s">
        <v>63</v>
      </c>
      <c r="E19" s="5">
        <v>30.0</v>
      </c>
      <c r="F19" s="14" t="s">
        <v>64</v>
      </c>
      <c r="G19" s="14" t="s">
        <v>65</v>
      </c>
      <c r="H19" s="15" t="s">
        <v>66</v>
      </c>
      <c r="I19" s="16" t="s">
        <v>67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>
        <v>19.0</v>
      </c>
      <c r="B20" s="5" t="s">
        <v>62</v>
      </c>
      <c r="C20" s="3"/>
      <c r="D20" s="17" t="s">
        <v>68</v>
      </c>
      <c r="E20" s="5">
        <v>25.0</v>
      </c>
      <c r="F20" s="14" t="s">
        <v>69</v>
      </c>
      <c r="G20" s="14" t="s">
        <v>70</v>
      </c>
      <c r="H20" s="15" t="s">
        <v>71</v>
      </c>
      <c r="I20" s="16" t="s">
        <v>72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>
        <v>20.0</v>
      </c>
      <c r="B21" s="5" t="s">
        <v>62</v>
      </c>
      <c r="C21" s="3"/>
      <c r="D21" s="17" t="s">
        <v>73</v>
      </c>
      <c r="E21" s="5">
        <v>25.0</v>
      </c>
      <c r="F21" s="14" t="s">
        <v>74</v>
      </c>
      <c r="G21" s="14" t="s">
        <v>75</v>
      </c>
      <c r="H21" s="10" t="s">
        <v>76</v>
      </c>
      <c r="I21" s="16" t="s">
        <v>77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>
        <v>21.0</v>
      </c>
      <c r="B22" s="5" t="s">
        <v>62</v>
      </c>
      <c r="C22" s="3"/>
      <c r="D22" s="17" t="s">
        <v>78</v>
      </c>
      <c r="E22" s="5">
        <v>25.0</v>
      </c>
      <c r="F22" s="14" t="s">
        <v>79</v>
      </c>
      <c r="G22" s="14" t="s">
        <v>80</v>
      </c>
      <c r="H22" s="10" t="s">
        <v>81</v>
      </c>
      <c r="I22" s="16" t="s">
        <v>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v>22.0</v>
      </c>
      <c r="B23" s="5" t="s">
        <v>62</v>
      </c>
      <c r="C23" s="3"/>
      <c r="D23" s="17" t="s">
        <v>83</v>
      </c>
      <c r="E23" s="5">
        <v>60.0</v>
      </c>
      <c r="F23" s="14" t="s">
        <v>84</v>
      </c>
      <c r="G23" s="14" t="s">
        <v>85</v>
      </c>
      <c r="H23" s="10" t="s">
        <v>83</v>
      </c>
      <c r="I23" s="16" t="s">
        <v>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>
        <v>23.0</v>
      </c>
      <c r="B24" s="5" t="s">
        <v>62</v>
      </c>
      <c r="C24" s="3"/>
      <c r="D24" s="5" t="s">
        <v>87</v>
      </c>
      <c r="E24" s="5">
        <v>10.0</v>
      </c>
      <c r="F24" s="14" t="s">
        <v>88</v>
      </c>
      <c r="G24" s="14" t="s">
        <v>89</v>
      </c>
      <c r="H24" s="18" t="s">
        <v>90</v>
      </c>
      <c r="I24" s="19" t="s">
        <v>91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>
        <v>24.0</v>
      </c>
      <c r="B25" s="5" t="s">
        <v>28</v>
      </c>
      <c r="C25" s="3"/>
      <c r="D25" s="5" t="s">
        <v>92</v>
      </c>
      <c r="E25" s="5">
        <v>10.0</v>
      </c>
      <c r="F25" s="9">
        <v>46152.0</v>
      </c>
      <c r="G25" s="9">
        <v>46152.0</v>
      </c>
      <c r="H25" s="10" t="s">
        <v>93</v>
      </c>
      <c r="I25" s="8" t="s">
        <v>94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0">
        <v>25.0</v>
      </c>
      <c r="B26" s="5" t="s">
        <v>28</v>
      </c>
      <c r="C26" s="3"/>
      <c r="D26" s="5" t="s">
        <v>95</v>
      </c>
      <c r="E26" s="5">
        <v>10.0</v>
      </c>
      <c r="F26" s="9">
        <v>46152.0</v>
      </c>
      <c r="G26" s="9">
        <v>46152.0</v>
      </c>
      <c r="H26" s="10" t="s">
        <v>96</v>
      </c>
      <c r="I26" s="8" t="s">
        <v>97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0">
        <v>26.0</v>
      </c>
      <c r="B27" s="5" t="s">
        <v>28</v>
      </c>
      <c r="C27" s="3"/>
      <c r="D27" s="5" t="s">
        <v>98</v>
      </c>
      <c r="E27" s="5">
        <v>10.0</v>
      </c>
      <c r="F27" s="9">
        <v>46152.0</v>
      </c>
      <c r="G27" s="9">
        <v>46152.0</v>
      </c>
      <c r="H27" s="10" t="s">
        <v>99</v>
      </c>
      <c r="I27" s="8" t="s">
        <v>100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0">
        <v>27.0</v>
      </c>
      <c r="B28" s="5" t="s">
        <v>28</v>
      </c>
      <c r="C28" s="3"/>
      <c r="D28" s="5" t="s">
        <v>101</v>
      </c>
      <c r="E28" s="5">
        <v>35.0</v>
      </c>
      <c r="F28" s="9">
        <v>46152.0</v>
      </c>
      <c r="G28" s="9">
        <v>46152.0</v>
      </c>
      <c r="H28" s="10" t="s">
        <v>102</v>
      </c>
      <c r="I28" s="8" t="s">
        <v>103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45.0" customHeight="1">
      <c r="A29" s="21">
        <v>28.0</v>
      </c>
      <c r="B29" s="22" t="s">
        <v>28</v>
      </c>
      <c r="C29" s="21"/>
      <c r="D29" s="22" t="s">
        <v>104</v>
      </c>
      <c r="E29" s="22">
        <v>25.0</v>
      </c>
      <c r="F29" s="23">
        <v>46172.0</v>
      </c>
      <c r="G29" s="23">
        <v>46173.0</v>
      </c>
      <c r="H29" s="24" t="s">
        <v>105</v>
      </c>
      <c r="I29" s="25" t="s">
        <v>106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>
        <v>29.0</v>
      </c>
      <c r="B30" s="22" t="s">
        <v>28</v>
      </c>
      <c r="C30" s="21"/>
      <c r="D30" s="22" t="s">
        <v>107</v>
      </c>
      <c r="E30" s="22">
        <v>25.0</v>
      </c>
      <c r="F30" s="23">
        <v>46172.0</v>
      </c>
      <c r="G30" s="23">
        <v>46173.0</v>
      </c>
      <c r="H30" s="26" t="s">
        <v>108</v>
      </c>
      <c r="I30" s="25" t="s">
        <v>109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7">
        <v>30.0</v>
      </c>
      <c r="B31" s="28" t="s">
        <v>28</v>
      </c>
      <c r="D31" s="28" t="s">
        <v>110</v>
      </c>
      <c r="E31" s="28">
        <v>5.0</v>
      </c>
      <c r="F31" s="23">
        <v>46172.0</v>
      </c>
      <c r="G31" s="23">
        <v>46173.0</v>
      </c>
      <c r="H31" s="29" t="s">
        <v>111</v>
      </c>
      <c r="I31" s="28" t="s">
        <v>112</v>
      </c>
    </row>
    <row r="32">
      <c r="A32" s="5">
        <v>31.0</v>
      </c>
      <c r="B32" s="5" t="s">
        <v>28</v>
      </c>
      <c r="C32" s="3"/>
      <c r="D32" s="5" t="s">
        <v>113</v>
      </c>
      <c r="E32" s="5">
        <v>5.0</v>
      </c>
      <c r="F32" s="9">
        <v>46174.0</v>
      </c>
      <c r="G32" s="9">
        <v>46174.0</v>
      </c>
      <c r="H32" s="30" t="s">
        <v>114</v>
      </c>
      <c r="I32" s="8" t="s">
        <v>115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</row>
    <row r="2">
      <c r="A2" s="28" t="s">
        <v>9</v>
      </c>
      <c r="B2" s="28">
        <v>9.0</v>
      </c>
      <c r="C2" s="28">
        <v>175.0</v>
      </c>
      <c r="D2" s="27">
        <f t="shared" ref="D2:D11" si="1">IF(ROUND(C2/$E$2*100,0)&gt;100,100,ROUND(C2/$E$2*100,0))</f>
        <v>100</v>
      </c>
      <c r="E2" s="27">
        <f>SUM(C2:C1000)/4</f>
        <v>175</v>
      </c>
    </row>
    <row r="3">
      <c r="A3" s="28" t="s">
        <v>32</v>
      </c>
      <c r="B3" s="28">
        <v>7.0</v>
      </c>
      <c r="C3" s="28">
        <v>175.0</v>
      </c>
      <c r="D3" s="27">
        <f t="shared" si="1"/>
        <v>100</v>
      </c>
    </row>
    <row r="4">
      <c r="A4" s="28" t="s">
        <v>62</v>
      </c>
      <c r="B4" s="28">
        <v>6.0</v>
      </c>
      <c r="C4" s="28">
        <v>175.0</v>
      </c>
      <c r="D4" s="27">
        <f t="shared" si="1"/>
        <v>100</v>
      </c>
    </row>
    <row r="5">
      <c r="A5" s="28" t="s">
        <v>28</v>
      </c>
      <c r="B5" s="28">
        <v>9.0</v>
      </c>
      <c r="C5" s="28">
        <v>175.0</v>
      </c>
      <c r="D5" s="27">
        <f t="shared" si="1"/>
        <v>100</v>
      </c>
    </row>
    <row r="6">
      <c r="D6" s="27">
        <f t="shared" si="1"/>
        <v>0</v>
      </c>
    </row>
    <row r="7">
      <c r="D7" s="27">
        <f t="shared" si="1"/>
        <v>0</v>
      </c>
    </row>
    <row r="8">
      <c r="D8" s="27">
        <f t="shared" si="1"/>
        <v>0</v>
      </c>
    </row>
    <row r="9">
      <c r="D9" s="27">
        <f t="shared" si="1"/>
        <v>0</v>
      </c>
    </row>
    <row r="10">
      <c r="D10" s="27">
        <f t="shared" si="1"/>
        <v>0</v>
      </c>
    </row>
    <row r="11">
      <c r="D11" s="27">
        <f t="shared" si="1"/>
        <v>0</v>
      </c>
    </row>
  </sheetData>
  <drawing r:id="rId1"/>
</worksheet>
</file>